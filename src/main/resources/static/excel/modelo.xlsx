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858A66B-6711-4EB3-8FE0-97F8BE13F9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definedNames>
    <definedName name="solver_adj" localSheetId="0" hidden="1">Hoja1!$M$9:$AB$9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Hoja1!$AC$12</definedName>
    <definedName name="solver_lhs10" localSheetId="0" hidden="1">Hoja1!$AC$21</definedName>
    <definedName name="solver_lhs11" localSheetId="0" hidden="1">Hoja1!$AC$22</definedName>
    <definedName name="solver_lhs12" localSheetId="0" hidden="1">Hoja1!$AC$23</definedName>
    <definedName name="solver_lhs13" localSheetId="0" hidden="1">Hoja1!$AC$24</definedName>
    <definedName name="solver_lhs14" localSheetId="0" hidden="1">Hoja1!$AC$25</definedName>
    <definedName name="solver_lhs15" localSheetId="0" hidden="1">Hoja1!$AC$26</definedName>
    <definedName name="solver_lhs16" localSheetId="0" hidden="1">Hoja1!$AC$27</definedName>
    <definedName name="solver_lhs17" localSheetId="0" hidden="1">Hoja1!$AC$28</definedName>
    <definedName name="solver_lhs18" localSheetId="0" hidden="1">Hoja1!$AC$29</definedName>
    <definedName name="solver_lhs19" localSheetId="0" hidden="1">Hoja1!$AC$30</definedName>
    <definedName name="solver_lhs2" localSheetId="0" hidden="1">Hoja1!$AC$13</definedName>
    <definedName name="solver_lhs20" localSheetId="0" hidden="1">Hoja1!$AC$31</definedName>
    <definedName name="solver_lhs21" localSheetId="0" hidden="1">Hoja1!$AC$32</definedName>
    <definedName name="solver_lhs22" localSheetId="0" hidden="1">Hoja1!$AC$33</definedName>
    <definedName name="solver_lhs23" localSheetId="0" hidden="1">Hoja1!$AC$34</definedName>
    <definedName name="solver_lhs24" localSheetId="0" hidden="1">Hoja1!$AC$35</definedName>
    <definedName name="solver_lhs25" localSheetId="0" hidden="1">Hoja1!$AC$36</definedName>
    <definedName name="solver_lhs26" localSheetId="0" hidden="1">Hoja1!$AC$37</definedName>
    <definedName name="solver_lhs27" localSheetId="0" hidden="1">Hoja1!$AC$38</definedName>
    <definedName name="solver_lhs28" localSheetId="0" hidden="1">Hoja1!$AC$39</definedName>
    <definedName name="solver_lhs29" localSheetId="0" hidden="1">Hoja1!$AC$40</definedName>
    <definedName name="solver_lhs3" localSheetId="0" hidden="1">Hoja1!$AC$14</definedName>
    <definedName name="solver_lhs30" localSheetId="0" hidden="1">Hoja1!$AC$41</definedName>
    <definedName name="solver_lhs31" localSheetId="0" hidden="1">Hoja1!$AC$42</definedName>
    <definedName name="solver_lhs32" localSheetId="0" hidden="1">Hoja1!$AC$43</definedName>
    <definedName name="solver_lhs33" localSheetId="0" hidden="1">Hoja1!$AC$44</definedName>
    <definedName name="solver_lhs34" localSheetId="0" hidden="1">Hoja1!$M$9:$AB$9</definedName>
    <definedName name="solver_lhs35" localSheetId="0" hidden="1">Hoja1!$M$9:$AB$9</definedName>
    <definedName name="solver_lhs4" localSheetId="0" hidden="1">Hoja1!$AC$15</definedName>
    <definedName name="solver_lhs5" localSheetId="0" hidden="1">Hoja1!$AC$16</definedName>
    <definedName name="solver_lhs6" localSheetId="0" hidden="1">Hoja1!$AC$17</definedName>
    <definedName name="solver_lhs7" localSheetId="0" hidden="1">Hoja1!$AC$18</definedName>
    <definedName name="solver_lhs8" localSheetId="0" hidden="1">Hoja1!$AC$19</definedName>
    <definedName name="solver_lhs9" localSheetId="0" hidden="1">Hoja1!$AC$20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35</definedName>
    <definedName name="solver_nwt" localSheetId="0" hidden="1">1</definedName>
    <definedName name="solver_opt" localSheetId="0" hidden="1">Hoja1!$N$5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1</definedName>
    <definedName name="solver_rel11" localSheetId="0" hidden="1">1</definedName>
    <definedName name="solver_rel12" localSheetId="0" hidden="1">1</definedName>
    <definedName name="solver_rel13" localSheetId="0" hidden="1">1</definedName>
    <definedName name="solver_rel14" localSheetId="0" hidden="1">1</definedName>
    <definedName name="solver_rel15" localSheetId="0" hidden="1">1</definedName>
    <definedName name="solver_rel16" localSheetId="0" hidden="1">1</definedName>
    <definedName name="solver_rel17" localSheetId="0" hidden="1">1</definedName>
    <definedName name="solver_rel18" localSheetId="0" hidden="1">3</definedName>
    <definedName name="solver_rel19" localSheetId="0" hidden="1">3</definedName>
    <definedName name="solver_rel2" localSheetId="0" hidden="1">1</definedName>
    <definedName name="solver_rel20" localSheetId="0" hidden="1">3</definedName>
    <definedName name="solver_rel21" localSheetId="0" hidden="1">3</definedName>
    <definedName name="solver_rel22" localSheetId="0" hidden="1">3</definedName>
    <definedName name="solver_rel23" localSheetId="0" hidden="1">3</definedName>
    <definedName name="solver_rel24" localSheetId="0" hidden="1">3</definedName>
    <definedName name="solver_rel25" localSheetId="0" hidden="1">3</definedName>
    <definedName name="solver_rel26" localSheetId="0" hidden="1">3</definedName>
    <definedName name="solver_rel27" localSheetId="0" hidden="1">3</definedName>
    <definedName name="solver_rel28" localSheetId="0" hidden="1">3</definedName>
    <definedName name="solver_rel29" localSheetId="0" hidden="1">3</definedName>
    <definedName name="solver_rel3" localSheetId="0" hidden="1">1</definedName>
    <definedName name="solver_rel30" localSheetId="0" hidden="1">3</definedName>
    <definedName name="solver_rel31" localSheetId="0" hidden="1">3</definedName>
    <definedName name="solver_rel32" localSheetId="0" hidden="1">3</definedName>
    <definedName name="solver_rel33" localSheetId="0" hidden="1">3</definedName>
    <definedName name="solver_rel34" localSheetId="0" hidden="1">4</definedName>
    <definedName name="solver_rel35" localSheetId="0" hidden="1">3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Hoja1!$AE$12</definedName>
    <definedName name="solver_rhs10" localSheetId="0" hidden="1">Hoja1!$AE$21</definedName>
    <definedName name="solver_rhs11" localSheetId="0" hidden="1">Hoja1!$AE$22</definedName>
    <definedName name="solver_rhs12" localSheetId="0" hidden="1">Hoja1!$AE$23</definedName>
    <definedName name="solver_rhs13" localSheetId="0" hidden="1">Hoja1!$AE$24</definedName>
    <definedName name="solver_rhs14" localSheetId="0" hidden="1">Hoja1!$AE$25</definedName>
    <definedName name="solver_rhs15" localSheetId="0" hidden="1">Hoja1!$AE$26</definedName>
    <definedName name="solver_rhs16" localSheetId="0" hidden="1">Hoja1!$AE$27</definedName>
    <definedName name="solver_rhs17" localSheetId="0" hidden="1">Hoja1!$AE$28</definedName>
    <definedName name="solver_rhs18" localSheetId="0" hidden="1">Hoja1!$AE$29</definedName>
    <definedName name="solver_rhs19" localSheetId="0" hidden="1">Hoja1!$AE$30</definedName>
    <definedName name="solver_rhs2" localSheetId="0" hidden="1">Hoja1!$AE$13</definedName>
    <definedName name="solver_rhs20" localSheetId="0" hidden="1">Hoja1!$AE$31</definedName>
    <definedName name="solver_rhs21" localSheetId="0" hidden="1">Hoja1!$AE$32</definedName>
    <definedName name="solver_rhs22" localSheetId="0" hidden="1">Hoja1!$AE$33</definedName>
    <definedName name="solver_rhs23" localSheetId="0" hidden="1">Hoja1!$AE$34</definedName>
    <definedName name="solver_rhs24" localSheetId="0" hidden="1">Hoja1!$AE$35</definedName>
    <definedName name="solver_rhs25" localSheetId="0" hidden="1">Hoja1!$AE$36</definedName>
    <definedName name="solver_rhs26" localSheetId="0" hidden="1">Hoja1!$AE$37</definedName>
    <definedName name="solver_rhs27" localSheetId="0" hidden="1">Hoja1!$AE$38</definedName>
    <definedName name="solver_rhs28" localSheetId="0" hidden="1">Hoja1!$AE$39</definedName>
    <definedName name="solver_rhs29" localSheetId="0" hidden="1">Hoja1!$AE$40</definedName>
    <definedName name="solver_rhs3" localSheetId="0" hidden="1">Hoja1!$AE$14</definedName>
    <definedName name="solver_rhs30" localSheetId="0" hidden="1">Hoja1!$AE$41</definedName>
    <definedName name="solver_rhs31" localSheetId="0" hidden="1">Hoja1!$AE$42</definedName>
    <definedName name="solver_rhs32" localSheetId="0" hidden="1">Hoja1!$AE$43</definedName>
    <definedName name="solver_rhs33" localSheetId="0" hidden="1">Hoja1!$AE$44</definedName>
    <definedName name="solver_rhs34" localSheetId="0" hidden="1">"entero"</definedName>
    <definedName name="solver_rhs35" localSheetId="0" hidden="1">0</definedName>
    <definedName name="solver_rhs4" localSheetId="0" hidden="1">Hoja1!$AE$15</definedName>
    <definedName name="solver_rhs5" localSheetId="0" hidden="1">Hoja1!$AE$16</definedName>
    <definedName name="solver_rhs6" localSheetId="0" hidden="1">Hoja1!$AE$17</definedName>
    <definedName name="solver_rhs7" localSheetId="0" hidden="1">Hoja1!$AE$18</definedName>
    <definedName name="solver_rhs8" localSheetId="0" hidden="1">Hoja1!$AE$19</definedName>
    <definedName name="solver_rhs9" localSheetId="0" hidden="1">Hoja1!$AE$20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2" i="1" l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2" i="1"/>
  <c r="AC18" i="1"/>
  <c r="AC17" i="1"/>
  <c r="AC16" i="1"/>
  <c r="AC15" i="1"/>
  <c r="AC14" i="1"/>
  <c r="AC13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N5" i="1"/>
</calcChain>
</file>

<file path=xl/sharedStrings.xml><?xml version="1.0" encoding="utf-8"?>
<sst xmlns="http://schemas.openxmlformats.org/spreadsheetml/2006/main" count="144" uniqueCount="113">
  <si>
    <t>Sabor</t>
  </si>
  <si>
    <t>Precio (COP) Pi</t>
  </si>
  <si>
    <t>Probabilidad demanda Di</t>
  </si>
  <si>
    <t>Stock almacén Si</t>
  </si>
  <si>
    <t>Mínimo exhibir Mi</t>
  </si>
  <si>
    <t>Cafe Valdez</t>
  </si>
  <si>
    <t>modelo aplicativo</t>
  </si>
  <si>
    <t>Caramelo Cremoso</t>
  </si>
  <si>
    <t>Maximizar Z=9500(0.3)X1+3100(0.6)X2+3500(0.7)X3+11000(0.2)X4+4000(0.9)X5+7000(0.3)X6+3300(0.8)X7+2000(0.9)X8+3000(0.6)X9+2500(0.7)X10+2800(0.5)X11+2600(0.2)X12+2500(0.8)X13+4500(0.4)X14+2800(0.6)X15+3000(0.7)X16</t>
  </si>
  <si>
    <t>Chococono</t>
  </si>
  <si>
    <t>Coco Vegano</t>
  </si>
  <si>
    <t>F.O</t>
  </si>
  <si>
    <t>Coconut</t>
  </si>
  <si>
    <t>Dracula</t>
  </si>
  <si>
    <t>DuraznoMagico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</si>
  <si>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</si>
  <si>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</si>
  <si>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</si>
  <si>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</si>
  <si>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</si>
  <si>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</si>
  <si>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</si>
  <si>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</si>
  <si>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</si>
  <si>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</si>
  <si>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</si>
  <si>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</si>
  <si>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</si>
  <si>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</si>
  <si>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</si>
  <si>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</si>
  <si>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Fresa Explosiva</t>
  </si>
  <si>
    <t>FresaPasion</t>
  </si>
  <si>
    <t>S.A</t>
  </si>
  <si>
    <t>LimonVerano</t>
  </si>
  <si>
    <t>X1+X2+X3+X4+X5+X6+X7+X8+X9+X10+X11+X12+X13+X14+X15+X16 ≤ 70</t>
  </si>
  <si>
    <t>Mango</t>
  </si>
  <si>
    <t>R1</t>
  </si>
  <si>
    <t>&lt;=</t>
  </si>
  <si>
    <t>MentaFresca</t>
  </si>
  <si>
    <t>X1 ≤ 6</t>
  </si>
  <si>
    <t>X1 ≥ 2</t>
  </si>
  <si>
    <t>R2</t>
  </si>
  <si>
    <t>MoraCielo</t>
  </si>
  <si>
    <t>X2 ≤ 19</t>
  </si>
  <si>
    <t>X2 ≥ 2</t>
  </si>
  <si>
    <t>R3</t>
  </si>
  <si>
    <t>Nutella Kids</t>
  </si>
  <si>
    <t>X3 ≤ 10</t>
  </si>
  <si>
    <t>X3 ≥ 2</t>
  </si>
  <si>
    <t>R4</t>
  </si>
  <si>
    <t>Paleta Tropical</t>
  </si>
  <si>
    <t>X4 ≤ 19</t>
  </si>
  <si>
    <t>X4 ≥ 2</t>
  </si>
  <si>
    <t>R5</t>
  </si>
  <si>
    <t>vainillaDeluxe</t>
  </si>
  <si>
    <t>X5 ≤ 7</t>
  </si>
  <si>
    <t>X5 ≥ 2</t>
  </si>
  <si>
    <t>R6</t>
  </si>
  <si>
    <t>X6 ≤ 8</t>
  </si>
  <si>
    <t>X6 ≥ 2</t>
  </si>
  <si>
    <t>R7</t>
  </si>
  <si>
    <t>CAPACIDAD DEL MOSTRADOR</t>
  </si>
  <si>
    <t>X7 ≤ 13</t>
  </si>
  <si>
    <t>X7 ≥ 2</t>
  </si>
  <si>
    <t>R8</t>
  </si>
  <si>
    <t>X8 ≤ 10</t>
  </si>
  <si>
    <t>X8 ≥ 2</t>
  </si>
  <si>
    <t>R9</t>
  </si>
  <si>
    <t xml:space="preserve">X9 ≤ 7 </t>
  </si>
  <si>
    <t>X9 ≥ 2</t>
  </si>
  <si>
    <t>R10</t>
  </si>
  <si>
    <t>X10 ≤ 12</t>
  </si>
  <si>
    <t>X10 ≥ 2</t>
  </si>
  <si>
    <t>R11</t>
  </si>
  <si>
    <t>X11 ≤ 9</t>
  </si>
  <si>
    <t>X11 ≥ 2</t>
  </si>
  <si>
    <t>R12</t>
  </si>
  <si>
    <t>X12 ≤ 19</t>
  </si>
  <si>
    <t>X12 ≥ 2</t>
  </si>
  <si>
    <t>R13</t>
  </si>
  <si>
    <t>X13 ≤ 11</t>
  </si>
  <si>
    <t>X13 ≥ 2</t>
  </si>
  <si>
    <t>R14</t>
  </si>
  <si>
    <t>X14 ≤ 12</t>
  </si>
  <si>
    <t>X14 ≥ 2</t>
  </si>
  <si>
    <t>R15</t>
  </si>
  <si>
    <t>X15 ≤ 10</t>
  </si>
  <si>
    <t>X15 ≥ 2</t>
  </si>
  <si>
    <t>R16</t>
  </si>
  <si>
    <t>X16 ≤ 24</t>
  </si>
  <si>
    <t>X16 ≥ 2</t>
  </si>
  <si>
    <t>R17</t>
  </si>
  <si>
    <t>N.N</t>
  </si>
  <si>
    <t>R18</t>
  </si>
  <si>
    <t>&gt;=</t>
  </si>
  <si>
    <t>X1,X2,X3,X4,X5,X6,X7,X8,X9,X10,X11,X12,X13,X14,X15,X16 ≥ 0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</si>
  <si>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</si>
  <si>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</si>
  <si>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</si>
  <si>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</si>
  <si>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</si>
  <si>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</si>
  <si>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</si>
  <si>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</si>
  <si>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</si>
  <si>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</si>
  <si>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</si>
  <si>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</si>
  <si>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</si>
  <si>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</si>
  <si>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</si>
  <si>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Xi = numero de unidades del helado que se llevcan del alamcen al mostrador (donde i es el numero de sabores disponibles)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</si>
</sst>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.00_-;\-[$$-240A]\ * #,##0.00_-;_-[$$-240A]\ 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2"/>
      <color rgb="FF000000"/>
      <name val="Calibri"/>
      <scheme val="minor"/>
    </font>
    <font>
      <sz val="11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rgb="FF000000"/>
      <name val="Calibri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8" fillId="4" borderId="1" xfId="0" applyFont="1" applyFill="1" applyBorder="1"/>
    <xf numFmtId="0" fontId="8" fillId="4" borderId="2" xfId="0" applyFont="1" applyFill="1" applyBorder="1"/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5"/>
  <sheetViews>
    <sheetView tabSelected="1" topLeftCell="J1" zoomScale="70" zoomScaleNormal="70" workbookViewId="0">
      <selection activeCell="AG16" sqref="AG16"/>
    </sheetView>
  </sheetViews>
  <sheetFormatPr baseColWidth="10" defaultColWidth="8.88671875" defaultRowHeight="14.4" x14ac:dyDescent="0.3"/>
  <cols>
    <col min="1" max="1" width="48.33203125" customWidth="1"/>
    <col min="2" max="2" width="14.109375" bestFit="1" customWidth="1"/>
    <col min="3" max="3" width="23.44140625" bestFit="1" customWidth="1"/>
    <col min="4" max="4" width="15.6640625" bestFit="1" customWidth="1"/>
    <col min="5" max="5" width="36.5546875" bestFit="1" customWidth="1"/>
    <col min="8" max="8" width="31.44140625" customWidth="1"/>
    <col min="9" max="9" width="18.6640625" customWidth="1"/>
    <col min="13" max="13" width="16.109375" customWidth="1"/>
    <col min="14" max="14" width="16.5546875" customWidth="1"/>
    <col min="15" max="15" width="14.33203125" customWidth="1"/>
    <col min="16" max="16" width="14.44140625" customWidth="1"/>
    <col min="17" max="17" width="14.5546875" customWidth="1"/>
    <col min="18" max="18" width="13.6640625" customWidth="1"/>
    <col min="19" max="19" width="15.109375" customWidth="1"/>
    <col min="20" max="20" width="14.109375" customWidth="1"/>
    <col min="21" max="21" width="16.44140625" customWidth="1"/>
    <col min="22" max="22" width="11.88671875" customWidth="1"/>
    <col min="23" max="23" width="13.109375" customWidth="1"/>
    <col min="24" max="24" width="13.44140625" customWidth="1"/>
    <col min="25" max="25" width="11.44140625" customWidth="1"/>
    <col min="26" max="26" width="12.109375" customWidth="1"/>
    <col min="27" max="27" width="14" customWidth="1"/>
    <col min="28" max="28" width="13.5546875" customWidth="1"/>
  </cols>
  <sheetData>
    <row r="1" spans="1:3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31" ht="16.5" customHeight="1" x14ac:dyDescent="0.3">
      <c r="A2" s="11" t="s">
        <v>5</v>
      </c>
      <c r="B2" s="12">
        <v>9500</v>
      </c>
      <c r="C2" s="13">
        <v>0.3</v>
      </c>
      <c r="D2" s="14">
        <v>6</v>
      </c>
      <c r="E2" s="14">
        <v>2</v>
      </c>
      <c r="H2" s="26" t="s">
        <v>6</v>
      </c>
      <c r="I2" s="26"/>
    </row>
    <row r="3" spans="1:31" ht="19.5" customHeight="1" x14ac:dyDescent="0.3">
      <c r="A3" s="11" t="s">
        <v>7</v>
      </c>
      <c r="B3" s="12">
        <v>3100</v>
      </c>
      <c r="C3" s="13">
        <v>0.6</v>
      </c>
      <c r="D3" s="14">
        <v>19</v>
      </c>
      <c r="E3" s="14">
        <v>2</v>
      </c>
      <c r="F3" s="8"/>
      <c r="H3" s="31" t="s">
        <v>8</v>
      </c>
      <c r="I3" s="31"/>
    </row>
    <row r="4" spans="1:31" x14ac:dyDescent="0.3">
      <c r="A4" s="11" t="s">
        <v>9</v>
      </c>
      <c r="B4" s="12">
        <v>3500</v>
      </c>
      <c r="C4" s="13">
        <v>0.7</v>
      </c>
      <c r="D4" s="14">
        <v>10</v>
      </c>
      <c r="E4" s="14">
        <v>2</v>
      </c>
      <c r="H4" s="31"/>
      <c r="I4" s="31"/>
    </row>
    <row r="5" spans="1:31" ht="18" customHeight="1" x14ac:dyDescent="0.3">
      <c r="A5" s="11" t="s">
        <v>10</v>
      </c>
      <c r="B5" s="12">
        <v>11000</v>
      </c>
      <c r="C5" s="13">
        <v>0.2</v>
      </c>
      <c r="D5" s="14">
        <v>19</v>
      </c>
      <c r="E5" s="14">
        <v>2</v>
      </c>
      <c r="H5" s="31"/>
      <c r="I5" s="31"/>
      <c r="M5" s="9" t="s">
        <v>11</v>
      </c>
      <c r="N5" s="20">
        <f>SUMPRODUCT(M9:AB9,M10:AB10)</f>
        <v>165140</v>
      </c>
    </row>
    <row r="6" spans="1:31" x14ac:dyDescent="0.3">
      <c r="A6" s="15" t="s">
        <v>12</v>
      </c>
      <c r="B6" s="12">
        <v>4000</v>
      </c>
      <c r="C6" s="13">
        <v>0.9</v>
      </c>
      <c r="D6" s="14">
        <v>7</v>
      </c>
      <c r="E6" s="14">
        <v>2</v>
      </c>
      <c r="H6" s="31"/>
      <c r="I6" s="31"/>
    </row>
    <row r="7" spans="1:31" x14ac:dyDescent="0.3">
      <c r="A7" s="11" t="s">
        <v>13</v>
      </c>
      <c r="B7" s="12">
        <v>7000</v>
      </c>
      <c r="C7" s="13">
        <v>0.3</v>
      </c>
      <c r="D7" s="14">
        <v>8</v>
      </c>
      <c r="E7" s="14">
        <v>2</v>
      </c>
      <c r="H7" s="31"/>
      <c r="I7" s="31"/>
    </row>
    <row r="8" spans="1:31" x14ac:dyDescent="0.3">
      <c r="A8" s="11" t="s">
        <v>14</v>
      </c>
      <c r="B8" s="12">
        <v>3300</v>
      </c>
      <c r="C8" s="13">
        <v>0.8</v>
      </c>
      <c r="D8" s="14">
        <v>13</v>
      </c>
      <c r="E8" s="14">
        <v>2</v>
      </c>
      <c r="H8" s="31"/>
      <c r="I8" s="31"/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  <c r="R8" s="4" t="s">
        <v>20</v>
      </c>
      <c r="S8" s="4" t="s">
        <v>21</v>
      </c>
      <c r="T8" s="4" t="s">
        <v>22</v>
      </c>
      <c r="U8" s="4" t="s">
        <v>23</v>
      </c>
      <c r="V8" s="4" t="s">
        <v>24</v>
      </c>
      <c r="W8" s="4" t="s">
        <v>25</v>
      </c>
      <c r="X8" s="4" t="s">
        <v>26</v>
      </c>
      <c r="Y8" s="4" t="s">
        <v>27</v>
      </c>
      <c r="Z8" s="4" t="s">
        <v>28</v>
      </c>
      <c r="AA8" s="6" t="s">
        <v>29</v>
      </c>
      <c r="AB8" s="5" t="s">
        <v>30</v>
      </c>
    </row>
    <row r="9" spans="1:31" ht="16.5" customHeight="1" x14ac:dyDescent="0.3">
      <c r="A9" s="16" t="s">
        <v>31</v>
      </c>
      <c r="B9" s="12">
        <v>2000</v>
      </c>
      <c r="C9" s="13">
        <v>0.9</v>
      </c>
      <c r="D9" s="14">
        <v>10</v>
      </c>
      <c r="E9" s="14">
        <v>2</v>
      </c>
      <c r="H9" s="31"/>
      <c r="I9" s="31"/>
      <c r="M9" s="5">
        <v>6</v>
      </c>
      <c r="N9" s="5">
        <v>2</v>
      </c>
      <c r="O9" s="5">
        <v>10</v>
      </c>
      <c r="P9" s="5">
        <v>12</v>
      </c>
      <c r="Q9" s="5">
        <v>7</v>
      </c>
      <c r="R9" s="5">
        <v>2</v>
      </c>
      <c r="S9" s="5">
        <v>13</v>
      </c>
      <c r="T9" s="5">
        <v>2</v>
      </c>
      <c r="U9" s="5">
        <v>2</v>
      </c>
      <c r="V9" s="5">
        <v>2</v>
      </c>
      <c r="W9" s="5">
        <v>2</v>
      </c>
      <c r="X9" s="5">
        <v>2</v>
      </c>
      <c r="Y9" s="5">
        <v>2</v>
      </c>
      <c r="Z9" s="5">
        <v>2</v>
      </c>
      <c r="AA9" s="5">
        <v>2</v>
      </c>
      <c r="AB9" s="5">
        <v>2</v>
      </c>
    </row>
    <row r="10" spans="1:31" ht="15" customHeight="1" x14ac:dyDescent="0.3">
      <c r="A10" s="17" t="s">
        <v>32</v>
      </c>
      <c r="B10" s="12">
        <v>3000</v>
      </c>
      <c r="C10" s="13">
        <v>0.6</v>
      </c>
      <c r="D10" s="14">
        <v>7</v>
      </c>
      <c r="E10" s="14">
        <v>2</v>
      </c>
      <c r="H10" s="27" t="s">
        <v>33</v>
      </c>
      <c r="I10" s="27"/>
      <c r="M10" s="7">
        <f xml:space="preserve"> B2*C2</f>
        <v>2850</v>
      </c>
      <c r="N10" s="7">
        <f>B3*C3</f>
        <v>1860</v>
      </c>
      <c r="O10" s="7">
        <f>B4*C4</f>
        <v>2450</v>
      </c>
      <c r="P10" s="7">
        <f>B5*C5</f>
        <v>2200</v>
      </c>
      <c r="Q10" s="7">
        <f>B6*C6</f>
        <v>3600</v>
      </c>
      <c r="R10" s="7">
        <f>B7*C7</f>
        <v>2100</v>
      </c>
      <c r="S10" s="7">
        <f xml:space="preserve"> B8*C8</f>
        <v>2640</v>
      </c>
      <c r="T10" s="7">
        <f>B9*C9</f>
        <v>1800</v>
      </c>
      <c r="U10" s="7">
        <f>B10*C10</f>
        <v>1800</v>
      </c>
      <c r="V10" s="7">
        <f>B11*C11</f>
        <v>1750</v>
      </c>
      <c r="W10" s="7">
        <f>B12*C12</f>
        <v>1400</v>
      </c>
      <c r="X10" s="7">
        <f>B13*C13</f>
        <v>520</v>
      </c>
      <c r="Y10" s="7">
        <f xml:space="preserve"> B14*C14</f>
        <v>2000</v>
      </c>
      <c r="Z10" s="7">
        <f>B15*C15</f>
        <v>1800</v>
      </c>
      <c r="AA10" s="7">
        <f>B16*C16</f>
        <v>1680</v>
      </c>
      <c r="AB10" s="7">
        <f>B17*C17</f>
        <v>2100</v>
      </c>
    </row>
    <row r="11" spans="1:31" ht="15" customHeight="1" x14ac:dyDescent="0.3">
      <c r="A11" s="17" t="s">
        <v>34</v>
      </c>
      <c r="B11" s="12">
        <v>2500</v>
      </c>
      <c r="C11" s="13">
        <v>0.7</v>
      </c>
      <c r="D11" s="14">
        <v>12</v>
      </c>
      <c r="E11" s="14">
        <v>2</v>
      </c>
      <c r="H11" s="30" t="s">
        <v>35</v>
      </c>
      <c r="I11" s="30"/>
    </row>
    <row r="12" spans="1:31" ht="17.25" customHeight="1" x14ac:dyDescent="0.3">
      <c r="A12" s="17" t="s">
        <v>36</v>
      </c>
      <c r="B12" s="12">
        <v>2800</v>
      </c>
      <c r="C12" s="13">
        <v>0.5</v>
      </c>
      <c r="D12" s="14">
        <v>9</v>
      </c>
      <c r="E12" s="14">
        <v>2</v>
      </c>
      <c r="H12" s="30"/>
      <c r="I12" s="30"/>
      <c r="L12" s="3" t="s">
        <v>37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24">
        <f>SUMPRODUCT(M12:AB12,M9:AB9)</f>
        <v>70</v>
      </c>
      <c r="AD12" s="19" t="s">
        <v>38</v>
      </c>
      <c r="AE12" s="3">
        <f>B19</f>
        <v>70</v>
      </c>
    </row>
    <row r="13" spans="1:31" ht="17.25" customHeight="1" x14ac:dyDescent="0.3">
      <c r="A13" s="17" t="s">
        <v>39</v>
      </c>
      <c r="B13" s="12">
        <v>2600</v>
      </c>
      <c r="C13" s="13">
        <v>0.2</v>
      </c>
      <c r="D13" s="14">
        <v>19</v>
      </c>
      <c r="E13" s="14">
        <v>2</v>
      </c>
      <c r="H13" s="1" t="s">
        <v>40</v>
      </c>
      <c r="I13" t="s">
        <v>41</v>
      </c>
      <c r="L13" s="3" t="s">
        <v>42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24">
        <f>SUMPRODUCT(M13:AB13,M9:AB9)</f>
        <v>6</v>
      </c>
      <c r="AD13" s="19" t="s">
        <v>38</v>
      </c>
      <c r="AE13" s="3">
        <v>6</v>
      </c>
    </row>
    <row r="14" spans="1:31" x14ac:dyDescent="0.3">
      <c r="A14" s="18" t="s">
        <v>43</v>
      </c>
      <c r="B14" s="12">
        <v>2500</v>
      </c>
      <c r="C14" s="13">
        <v>0.8</v>
      </c>
      <c r="D14" s="14">
        <v>11</v>
      </c>
      <c r="E14" s="14">
        <v>2</v>
      </c>
      <c r="H14" t="s">
        <v>44</v>
      </c>
      <c r="I14" t="s">
        <v>45</v>
      </c>
      <c r="L14" s="3" t="s">
        <v>46</v>
      </c>
      <c r="M14" s="3">
        <v>0</v>
      </c>
      <c r="N14" s="3">
        <v>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24">
        <f>SUMPRODUCT(M14:AB14,M9:AB9)</f>
        <v>2</v>
      </c>
      <c r="AD14" s="19" t="s">
        <v>38</v>
      </c>
      <c r="AE14" s="3">
        <v>19</v>
      </c>
    </row>
    <row r="15" spans="1:31" ht="16.5" customHeight="1" x14ac:dyDescent="0.3">
      <c r="A15" s="17" t="s">
        <v>47</v>
      </c>
      <c r="B15" s="12">
        <v>4500</v>
      </c>
      <c r="C15" s="13">
        <v>0.4</v>
      </c>
      <c r="D15" s="14">
        <v>12</v>
      </c>
      <c r="E15" s="14">
        <v>2</v>
      </c>
      <c r="H15" t="s">
        <v>48</v>
      </c>
      <c r="I15" t="s">
        <v>49</v>
      </c>
      <c r="L15" s="3" t="s">
        <v>50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24">
        <f>SUMPRODUCT(M15:AB15,M9:AB9)</f>
        <v>10</v>
      </c>
      <c r="AD15" s="19" t="s">
        <v>38</v>
      </c>
      <c r="AE15" s="3">
        <v>10</v>
      </c>
    </row>
    <row r="16" spans="1:31" x14ac:dyDescent="0.3">
      <c r="A16" s="18" t="s">
        <v>51</v>
      </c>
      <c r="B16" s="12">
        <v>2800</v>
      </c>
      <c r="C16" s="13">
        <v>0.6</v>
      </c>
      <c r="D16" s="14">
        <v>10</v>
      </c>
      <c r="E16" s="14">
        <v>2</v>
      </c>
      <c r="H16" t="s">
        <v>52</v>
      </c>
      <c r="I16" t="s">
        <v>53</v>
      </c>
      <c r="L16" s="3" t="s">
        <v>54</v>
      </c>
      <c r="M16" s="3">
        <v>0</v>
      </c>
      <c r="N16" s="3">
        <v>0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24">
        <f>SUMPRODUCT(M16:AB16,M9:AB9)</f>
        <v>12</v>
      </c>
      <c r="AD16" s="19" t="s">
        <v>38</v>
      </c>
      <c r="AE16" s="3">
        <v>19</v>
      </c>
    </row>
    <row r="17" spans="1:31" x14ac:dyDescent="0.3">
      <c r="A17" s="18" t="s">
        <v>55</v>
      </c>
      <c r="B17" s="12">
        <v>3000</v>
      </c>
      <c r="C17" s="13">
        <v>0.7</v>
      </c>
      <c r="D17" s="14">
        <v>24</v>
      </c>
      <c r="E17" s="14">
        <v>2</v>
      </c>
      <c r="H17" t="s">
        <v>56</v>
      </c>
      <c r="I17" t="s">
        <v>57</v>
      </c>
      <c r="L17" s="3" t="s">
        <v>58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24">
        <f>SUMPRODUCT(M17:AB17,M9:AB9)</f>
        <v>7</v>
      </c>
      <c r="AD17" s="19" t="s">
        <v>38</v>
      </c>
      <c r="AE17" s="3">
        <v>7</v>
      </c>
    </row>
    <row r="18" spans="1:31" x14ac:dyDescent="0.3">
      <c r="A18" s="1"/>
      <c r="H18" t="s">
        <v>59</v>
      </c>
      <c r="I18" t="s">
        <v>60</v>
      </c>
      <c r="L18" s="3" t="s">
        <v>61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24">
        <f>SUMPRODUCT(M18:AB18,M9:AB9)</f>
        <v>2</v>
      </c>
      <c r="AD18" s="19" t="s">
        <v>38</v>
      </c>
      <c r="AE18" s="3">
        <v>8</v>
      </c>
    </row>
    <row r="19" spans="1:31" x14ac:dyDescent="0.3">
      <c r="A19" s="2" t="s">
        <v>62</v>
      </c>
      <c r="B19" s="3">
        <v>70</v>
      </c>
      <c r="H19" t="s">
        <v>63</v>
      </c>
      <c r="I19" t="s">
        <v>64</v>
      </c>
      <c r="L19" s="3" t="s">
        <v>65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24">
        <f>SUMPRODUCT(M19:AB19,M9:AB9)</f>
        <v>13</v>
      </c>
      <c r="AD19" s="19" t="s">
        <v>38</v>
      </c>
      <c r="AE19" s="3">
        <v>13</v>
      </c>
    </row>
    <row r="20" spans="1:31" x14ac:dyDescent="0.3">
      <c r="A20" s="1"/>
      <c r="H20" t="s">
        <v>66</v>
      </c>
      <c r="I20" t="s">
        <v>67</v>
      </c>
      <c r="L20" s="3" t="s">
        <v>68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24">
        <f>SUMPRODUCT(M20:AB20,M9:AB9)</f>
        <v>2</v>
      </c>
      <c r="AD20" s="19" t="s">
        <v>38</v>
      </c>
      <c r="AE20" s="3">
        <v>10</v>
      </c>
    </row>
    <row r="21" spans="1:31" x14ac:dyDescent="0.3">
      <c r="H21" t="s">
        <v>69</v>
      </c>
      <c r="I21" t="s">
        <v>70</v>
      </c>
      <c r="L21" s="3" t="s">
        <v>71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24">
        <f>SUMPRODUCT(M21:AB21,M9:AB9)</f>
        <v>2</v>
      </c>
      <c r="AD21" s="19" t="s">
        <v>38</v>
      </c>
      <c r="AE21" s="3">
        <v>7</v>
      </c>
    </row>
    <row r="22" spans="1:31" x14ac:dyDescent="0.3">
      <c r="A22" s="32" t="s">
        <v>112</v>
      </c>
      <c r="B22" s="32"/>
      <c r="C22" s="32"/>
      <c r="D22" s="32"/>
      <c r="E22" s="32"/>
      <c r="H22" t="s">
        <v>72</v>
      </c>
      <c r="I22" t="s">
        <v>73</v>
      </c>
      <c r="L22" s="3" t="s">
        <v>74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24">
        <f>SUMPRODUCT(M22:AB22,M9:AB9)</f>
        <v>2</v>
      </c>
      <c r="AD22" s="19" t="s">
        <v>38</v>
      </c>
      <c r="AE22" s="3">
        <v>12</v>
      </c>
    </row>
    <row r="23" spans="1:31" x14ac:dyDescent="0.3">
      <c r="H23" t="s">
        <v>75</v>
      </c>
      <c r="I23" t="s">
        <v>76</v>
      </c>
      <c r="L23" s="3" t="s">
        <v>77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24">
        <f>SUMPRODUCT(M23:AB23,M9:AB9)</f>
        <v>2</v>
      </c>
      <c r="AD23" s="19" t="s">
        <v>38</v>
      </c>
      <c r="AE23" s="3">
        <v>9</v>
      </c>
    </row>
    <row r="24" spans="1:31" x14ac:dyDescent="0.3">
      <c r="H24" t="s">
        <v>78</v>
      </c>
      <c r="I24" t="s">
        <v>79</v>
      </c>
      <c r="L24" s="3" t="s">
        <v>80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0</v>
      </c>
      <c r="Z24" s="3">
        <v>0</v>
      </c>
      <c r="AA24" s="3">
        <v>0</v>
      </c>
      <c r="AB24" s="3">
        <v>0</v>
      </c>
      <c r="AC24" s="24">
        <f>SUMPRODUCT(M24:AB24,M9:AB9)</f>
        <v>2</v>
      </c>
      <c r="AD24" s="19" t="s">
        <v>38</v>
      </c>
      <c r="AE24" s="3">
        <v>19</v>
      </c>
    </row>
    <row r="25" spans="1:31" x14ac:dyDescent="0.3">
      <c r="H25" t="s">
        <v>81</v>
      </c>
      <c r="I25" t="s">
        <v>82</v>
      </c>
      <c r="L25" s="3" t="s">
        <v>83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  <c r="Z25" s="3">
        <v>0</v>
      </c>
      <c r="AA25" s="3">
        <v>0</v>
      </c>
      <c r="AB25" s="3">
        <v>0</v>
      </c>
      <c r="AC25" s="24">
        <f>SUMPRODUCT(M25:AB25,M9:AB9)</f>
        <v>2</v>
      </c>
      <c r="AD25" s="19" t="s">
        <v>38</v>
      </c>
      <c r="AE25" s="3">
        <v>11</v>
      </c>
    </row>
    <row r="26" spans="1:31" x14ac:dyDescent="0.3">
      <c r="H26" t="s">
        <v>84</v>
      </c>
      <c r="I26" t="s">
        <v>85</v>
      </c>
      <c r="L26" s="3" t="s">
        <v>86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</v>
      </c>
      <c r="AA26" s="3">
        <v>0</v>
      </c>
      <c r="AB26" s="3">
        <v>0</v>
      </c>
      <c r="AC26" s="24">
        <f>SUMPRODUCT(M26:AB26,M9:AB9)</f>
        <v>2</v>
      </c>
      <c r="AD26" s="19" t="s">
        <v>38</v>
      </c>
      <c r="AE26" s="3">
        <v>12</v>
      </c>
    </row>
    <row r="27" spans="1:31" x14ac:dyDescent="0.3">
      <c r="H27" t="s">
        <v>87</v>
      </c>
      <c r="I27" t="s">
        <v>88</v>
      </c>
      <c r="L27" s="3" t="s">
        <v>89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0</v>
      </c>
      <c r="AC27" s="24">
        <f>SUMPRODUCT(M27:AB27,M9:AB9)</f>
        <v>2</v>
      </c>
      <c r="AD27" s="19" t="s">
        <v>38</v>
      </c>
      <c r="AE27" s="3">
        <v>10</v>
      </c>
    </row>
    <row r="28" spans="1:31" x14ac:dyDescent="0.3">
      <c r="H28" t="s">
        <v>90</v>
      </c>
      <c r="I28" t="s">
        <v>91</v>
      </c>
      <c r="L28" s="22" t="s">
        <v>92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1</v>
      </c>
      <c r="AC28" s="25">
        <f>SUMPRODUCT(M28:AB28,M9:AB9)</f>
        <v>2</v>
      </c>
      <c r="AD28" s="23" t="s">
        <v>38</v>
      </c>
      <c r="AE28" s="22">
        <v>24</v>
      </c>
    </row>
    <row r="29" spans="1:31" x14ac:dyDescent="0.3">
      <c r="H29" s="29" t="s">
        <v>93</v>
      </c>
      <c r="I29" s="29"/>
      <c r="L29" s="3" t="s">
        <v>94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24">
        <f>SUMPRODUCT(M29:AB29,M9:AB9)</f>
        <v>6</v>
      </c>
      <c r="AD29" s="19" t="s">
        <v>95</v>
      </c>
      <c r="AE29" s="3">
        <v>2</v>
      </c>
    </row>
    <row r="30" spans="1:31" ht="30.75" customHeight="1" x14ac:dyDescent="0.3">
      <c r="H30" s="28" t="s">
        <v>96</v>
      </c>
      <c r="I30" s="28"/>
      <c r="L30" s="3" t="s">
        <v>97</v>
      </c>
      <c r="M30" s="3">
        <v>0</v>
      </c>
      <c r="N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24">
        <f>SUMPRODUCT(M30:AB30,M9:AB9)</f>
        <v>2</v>
      </c>
      <c r="AD30" s="19" t="s">
        <v>95</v>
      </c>
      <c r="AE30" s="3">
        <v>2</v>
      </c>
    </row>
    <row r="31" spans="1:31" x14ac:dyDescent="0.3">
      <c r="L31" s="3" t="s">
        <v>98</v>
      </c>
      <c r="M31" s="3">
        <v>0</v>
      </c>
      <c r="N31" s="3">
        <v>0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24">
        <f>SUMPRODUCT(M31:AB31,M9:AB9)</f>
        <v>10</v>
      </c>
      <c r="AD31" s="19" t="s">
        <v>95</v>
      </c>
      <c r="AE31" s="3">
        <v>2</v>
      </c>
    </row>
    <row r="32" spans="1:31" x14ac:dyDescent="0.3">
      <c r="L32" s="3" t="s">
        <v>99</v>
      </c>
      <c r="M32" s="3">
        <v>0</v>
      </c>
      <c r="N32" s="3">
        <v>0</v>
      </c>
      <c r="O32" s="3">
        <v>0</v>
      </c>
      <c r="P32" s="3">
        <v>1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24">
        <f>SUMPRODUCT(M32:AB32,M9:AB9)</f>
        <v>12</v>
      </c>
      <c r="AD32" s="19" t="s">
        <v>95</v>
      </c>
      <c r="AE32" s="3">
        <v>2</v>
      </c>
    </row>
    <row r="33" spans="12:31" x14ac:dyDescent="0.3">
      <c r="L33" s="3" t="s">
        <v>100</v>
      </c>
      <c r="M33" s="3">
        <v>0</v>
      </c>
      <c r="N33" s="3">
        <v>0</v>
      </c>
      <c r="O33" s="3">
        <v>0</v>
      </c>
      <c r="P33" s="3">
        <v>0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24">
        <f>SUMPRODUCT(M33:AB33,M9:AB9)</f>
        <v>7</v>
      </c>
      <c r="AD33" s="19" t="s">
        <v>95</v>
      </c>
      <c r="AE33" s="3">
        <v>2</v>
      </c>
    </row>
    <row r="34" spans="12:31" x14ac:dyDescent="0.3">
      <c r="L34" s="3" t="s">
        <v>101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1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24">
        <f>SUMPRODUCT(M34:AB34,M9:AB9)</f>
        <v>2</v>
      </c>
      <c r="AD34" s="19" t="s">
        <v>95</v>
      </c>
      <c r="AE34" s="3">
        <v>2</v>
      </c>
    </row>
    <row r="35" spans="12:31" x14ac:dyDescent="0.3">
      <c r="L35" s="3" t="s">
        <v>102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24">
        <f>SUMPRODUCT(M35:AB35,M9:AB9)</f>
        <v>13</v>
      </c>
      <c r="AD35" s="19" t="s">
        <v>95</v>
      </c>
      <c r="AE35" s="3">
        <v>2</v>
      </c>
    </row>
    <row r="36" spans="12:31" x14ac:dyDescent="0.3">
      <c r="L36" s="3" t="s">
        <v>103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24">
        <f>SUMPRODUCT(M36:AB36,M9:AB9)</f>
        <v>2</v>
      </c>
      <c r="AD36" s="19" t="s">
        <v>95</v>
      </c>
      <c r="AE36" s="3">
        <v>2</v>
      </c>
    </row>
    <row r="37" spans="12:31" x14ac:dyDescent="0.3">
      <c r="L37" s="3" t="s">
        <v>104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1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24">
        <f>SUMPRODUCT(M37:AB37,M9:AB9)</f>
        <v>2</v>
      </c>
      <c r="AD37" s="19" t="s">
        <v>95</v>
      </c>
      <c r="AE37" s="3">
        <v>2</v>
      </c>
    </row>
    <row r="38" spans="12:31" x14ac:dyDescent="0.3">
      <c r="L38" s="3" t="s">
        <v>105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1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24">
        <f>SUMPRODUCT(M38:AB38,M9:AB9)</f>
        <v>2</v>
      </c>
      <c r="AD38" s="19" t="s">
        <v>95</v>
      </c>
      <c r="AE38" s="3">
        <v>2</v>
      </c>
    </row>
    <row r="39" spans="12:31" x14ac:dyDescent="0.3">
      <c r="L39" s="3" t="s">
        <v>106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24">
        <f>SUMPRODUCT(M39:AB39,M9:AB9)</f>
        <v>2</v>
      </c>
      <c r="AD39" s="19" t="s">
        <v>95</v>
      </c>
      <c r="AE39" s="3">
        <v>2</v>
      </c>
    </row>
    <row r="40" spans="12:31" x14ac:dyDescent="0.3">
      <c r="L40" s="3" t="s">
        <v>107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1</v>
      </c>
      <c r="Y40" s="3">
        <v>0</v>
      </c>
      <c r="Z40" s="3">
        <v>0</v>
      </c>
      <c r="AA40" s="3">
        <v>0</v>
      </c>
      <c r="AB40" s="3">
        <v>0</v>
      </c>
      <c r="AC40" s="24">
        <f>SUMPRODUCT(M40:AB40,M9:AB9)</f>
        <v>2</v>
      </c>
      <c r="AD40" s="19" t="s">
        <v>95</v>
      </c>
      <c r="AE40" s="3">
        <v>2</v>
      </c>
    </row>
    <row r="41" spans="12:31" x14ac:dyDescent="0.3">
      <c r="L41" s="3" t="s">
        <v>108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</v>
      </c>
      <c r="Z41" s="3">
        <v>0</v>
      </c>
      <c r="AA41" s="3">
        <v>0</v>
      </c>
      <c r="AB41" s="3">
        <v>0</v>
      </c>
      <c r="AC41" s="24">
        <f>SUMPRODUCT(M41:AB41,M9:AB9)</f>
        <v>2</v>
      </c>
      <c r="AD41" s="19" t="s">
        <v>95</v>
      </c>
      <c r="AE41" s="3">
        <v>2</v>
      </c>
    </row>
    <row r="42" spans="12:31" x14ac:dyDescent="0.3">
      <c r="L42" s="3" t="s">
        <v>109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1</v>
      </c>
      <c r="AA42" s="3">
        <v>0</v>
      </c>
      <c r="AB42" s="3">
        <v>0</v>
      </c>
      <c r="AC42" s="24">
        <f>SUMPRODUCT(M42:AB42,M9:AB9)</f>
        <v>2</v>
      </c>
      <c r="AD42" s="19" t="s">
        <v>95</v>
      </c>
      <c r="AE42" s="3">
        <v>2</v>
      </c>
    </row>
    <row r="43" spans="12:31" x14ac:dyDescent="0.3">
      <c r="L43" s="3" t="s">
        <v>110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</v>
      </c>
      <c r="AB43" s="3">
        <v>0</v>
      </c>
      <c r="AC43" s="24">
        <f>SUMPRODUCT(M43:AB43,M9:AB9)</f>
        <v>2</v>
      </c>
      <c r="AD43" s="19" t="s">
        <v>95</v>
      </c>
      <c r="AE43" s="3">
        <v>2</v>
      </c>
    </row>
    <row r="44" spans="12:31" x14ac:dyDescent="0.3">
      <c r="L44" s="3" t="s">
        <v>111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1</v>
      </c>
      <c r="AC44" s="24">
        <f>SUMPRODUCT(M44:AB44,M9:AB9)</f>
        <v>2</v>
      </c>
      <c r="AD44" s="19" t="s">
        <v>95</v>
      </c>
      <c r="AE44" s="3">
        <v>2</v>
      </c>
    </row>
    <row r="45" spans="12:31" x14ac:dyDescent="0.3">
      <c r="AD45" s="21"/>
    </row>
  </sheetData>
  <mergeCells count="7">
    <mergeCell ref="A22:E22"/>
    <mergeCell ref="H2:I2"/>
    <mergeCell ref="H10:I10"/>
    <mergeCell ref="H30:I30"/>
    <mergeCell ref="H29:I29"/>
    <mergeCell ref="H11:I12"/>
    <mergeCell ref="H3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Gabriela Isabel Borja Castellar</cp:lastModifiedBy>
  <cp:revision/>
  <dcterms:created xsi:type="dcterms:W3CDTF">2026-05-14T17:22:02Z</dcterms:created>
  <dcterms:modified xsi:type="dcterms:W3CDTF">2026-05-15T03:31:37Z</dcterms:modified>
  <cp:category/>
  <cp:contentStatus/>
</cp:coreProperties>
</file>